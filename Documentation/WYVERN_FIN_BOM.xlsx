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o Buy - Flight" sheetId="2" state="visible" r:id="rId4"/>
    <sheet name="To Buy - Wind Tunnel" sheetId="3" state="visible" r:id="rId5"/>
    <sheet name="On Hand (reuse)" sheetId="4" state="visible" r:id="rId6"/>
    <sheet name="Retired TVC sto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<sst xmlns="http://schemas.openxmlformats.org/spreadsheetml/2006/main" count="330" uniqueCount="261">
  <si>
    <t xml:space="preserve">Spend summary</t>
  </si>
  <si>
    <t xml:space="preserve">Flight vehicle (to buy)</t>
  </si>
  <si>
    <t xml:space="preserve">Wind tunnel adaptation (to buy)</t>
  </si>
  <si>
    <t xml:space="preserve">TOTAL new spend</t>
  </si>
  <si>
    <t xml:space="preserve">Motors are 2 x Econojet F42-4T 2-packs = 4 motors for $98.98 at eRockets (3 flights + 1 spare / static test). Links checked 2026-10-16; Phase B tunnel items removed.</t>
  </si>
  <si>
    <t xml:space="preserve">GTR70E WYVERN fin-control — flight vehicle, to buy</t>
  </si>
  <si>
    <t xml:space="preserve">Built by Documentation/build_bom.py · numbers trace to Simulations/canonical_numbers.json</t>
  </si>
  <si>
    <t xml:space="preserve">Item</t>
  </si>
  <si>
    <t xml:space="preserve">Vendor</t>
  </si>
  <si>
    <t xml:space="preserve">Part # / Spec</t>
  </si>
  <si>
    <t xml:space="preserve">Link</t>
  </si>
  <si>
    <t xml:space="preserve">Why / where used</t>
  </si>
  <si>
    <t xml:space="preserve">Qty</t>
  </si>
  <si>
    <t xml:space="preserve">Unit ($)</t>
  </si>
  <si>
    <t xml:space="preserve">Line ($)</t>
  </si>
  <si>
    <t xml:space="preserve">Price source</t>
  </si>
  <si>
    <t xml:space="preserve">Avionics</t>
  </si>
  <si>
    <t xml:space="preserve">Adafruit Feather RP2040 RFM95 LoRa 915 MHz</t>
  </si>
  <si>
    <t xml:space="preserve">Adafruit</t>
  </si>
  <si>
    <t xml:space="preserve">PID 5714</t>
  </si>
  <si>
    <t xml:space="preserve">https://www.adafruit.com/product/5714</t>
  </si>
  <si>
    <t xml:space="preserve">Flight computer + ground station (same board at both ends) + 1 spare</t>
  </si>
  <si>
    <t xml:space="preserve">vendor 2026-10-16, in stock</t>
  </si>
  <si>
    <t xml:space="preserve">Adafruit ADXL375 high-g accelerometer +/-200 g, STEMMA QT</t>
  </si>
  <si>
    <t xml:space="preserve">DigiKey</t>
  </si>
  <si>
    <t xml:space="preserve">Adafruit 5374, DK 15998640</t>
  </si>
  <si>
    <t xml:space="preserve">https://www.digikey.com/en/products/detail/adafruit-industries-llc/5374/15998640</t>
  </si>
  <si>
    <t xml:space="preserve">Axial channel during boost (the BNO085 clips at 8 g); -Y spine face. Out of stock at adafruit.com/product/5374 on 2026-10-16; DigiKey lists it as shipping</t>
  </si>
  <si>
    <t xml:space="preserve">Adafruit list; confirm at DigiKey</t>
  </si>
  <si>
    <t xml:space="preserve">STEMMA QT to male header cable 150 mm</t>
  </si>
  <si>
    <t xml:space="preserve">PID 4209</t>
  </si>
  <si>
    <t xml:space="preserve">https://www.adafruit.com/product/4209</t>
  </si>
  <si>
    <t xml:space="preserve">BME688 onto the Feather's TX / RX pads (I2C0, core 1)</t>
  </si>
  <si>
    <t xml:space="preserve">STEMMA QT cable 100 mm</t>
  </si>
  <si>
    <t xml:space="preserve">PID 4210</t>
  </si>
  <si>
    <t xml:space="preserve">https://www.adafruit.com/product/4210</t>
  </si>
  <si>
    <t xml:space="preserve">BNO085 -&gt; ADXL375</t>
  </si>
  <si>
    <t xml:space="preserve">SMA to uFL RF adapter cable</t>
  </si>
  <si>
    <t xml:space="preserve">PID 851</t>
  </si>
  <si>
    <t xml:space="preserve">https://www.adafruit.com/product/851</t>
  </si>
  <si>
    <t xml:space="preserve">Ground-station antenna feed (Feather uFL -&gt; SMA jack)</t>
  </si>
  <si>
    <t xml:space="preserve">Linx 916 MHz whip antenna, straight SMA male</t>
  </si>
  <si>
    <t xml:space="preserve">TE Linx ANT-916-CW-HW-SMA</t>
  </si>
  <si>
    <t xml:space="preserve">https://www.digikey.com/en/products/detail/te-connectivity-linx/ANT-916-CW-HW-SMA/2694126</t>
  </si>
  <si>
    <t xml:space="preserve">Ground station; replaces the generic Yagi (no verifiable SMA listing). Link margin 51.7 dB at the 236 m worst slant range (wf_link_budget, 1.2 dBi)</t>
  </si>
  <si>
    <t xml:space="preserve">est.; price shows at DigiKey</t>
  </si>
  <si>
    <t xml:space="preserve">Adafruit Micro SD SPI/SDIO breakout, 3V only</t>
  </si>
  <si>
    <t xml:space="preserve">PID 4682</t>
  </si>
  <si>
    <t xml:space="preserve">https://www.adafruit.com/product/4682</t>
  </si>
  <si>
    <t xml:space="preserve">Flight log of record on the spine's -Y face (25.4 x 22.8 mm) + spare</t>
  </si>
  <si>
    <t xml:space="preserve">Piezo buzzer PS1240</t>
  </si>
  <si>
    <t xml:space="preserve">PID 160</t>
  </si>
  <si>
    <t xml:space="preserve">https://www.adafruit.com/product/160</t>
  </si>
  <si>
    <t xml:space="preserve">Pad / landing beacon (D12)</t>
  </si>
  <si>
    <t xml:space="preserve">NPN transistor PN2222, 10 pack</t>
  </si>
  <si>
    <t xml:space="preserve">PID 756</t>
  </si>
  <si>
    <t xml:space="preserve">https://www.adafruit.com/product/756</t>
  </si>
  <si>
    <t xml:space="preserve">Buzzer driver on GP12</t>
  </si>
  <si>
    <t xml:space="preserve">Resistor 1 k 5 % 1/4 W carbon film</t>
  </si>
  <si>
    <t xml:space="preserve">Stackpole CF14JT1K00</t>
  </si>
  <si>
    <t xml:space="preserve">https://www.digikey.com/en/products/detail/stackpole-electronics-inc/CF14JT1K00/1741314</t>
  </si>
  <si>
    <t xml:space="preserve">Buzzer base resistor (Adafruit 4294 pack is out of stock); buy 10</t>
  </si>
  <si>
    <t xml:space="preserve">est.</t>
  </si>
  <si>
    <t xml:space="preserve">SparkFun Solder-able Breadboard (full)</t>
  </si>
  <si>
    <t xml:space="preserve">SparkFun</t>
  </si>
  <si>
    <t xml:space="preserve">PRT-12070</t>
  </si>
  <si>
    <t xml:space="preserve">https://www.sparkfun.com/sparkfun-solder-able-breadboard.html</t>
  </si>
  <si>
    <t xml:space="preserve">Power board cut to 16 x 60 mm on the spine's +Y face (2810, buck, screw switch, divider, buzzer drive, 470 uF). Adafruit Perma-Proto boards were out of stock</t>
  </si>
  <si>
    <t xml:space="preserve">Subtotal</t>
  </si>
  <si>
    <t xml:space="preserve">Actuation</t>
  </si>
  <si>
    <t xml:space="preserve">KST X08 Plus HV coreless micro servo</t>
  </si>
  <si>
    <t xml:space="preserve">Aloft Hobbies</t>
  </si>
  <si>
    <t xml:space="preserve">X08+ 23.5 x 8 x 16.8 mm, 9 g</t>
  </si>
  <si>
    <t xml:space="preserve">https://alofthobbies.com/products/kst-x08-servo-5-30kg-73-60-oz-in-0-09-sec-wide-voltage</t>
  </si>
  <si>
    <t xml:space="preserve">4 control-fin servos in one ring + 1 spare; 3.8-8.4 V direct on 2S</t>
  </si>
  <si>
    <t xml:space="preserve">Wixey WR300 Type 2 digital angle gauge</t>
  </si>
  <si>
    <t xml:space="preserve">Woodcraft</t>
  </si>
  <si>
    <t xml:space="preserve">WR300, 0.1 deg</t>
  </si>
  <si>
    <t xml:space="preserve">https://www.woodcraft.com/products/wixey-digital-angle-gauge-with-backlight-type-2-wr300</t>
  </si>
  <si>
    <t xml:space="preserve">Servo trim + us/deg calibration (t2_servo_cal)</t>
  </si>
  <si>
    <t xml:space="preserve">Power</t>
  </si>
  <si>
    <t xml:space="preserve">Pololu 5 V 1 A step-down regulator D24V10F5</t>
  </si>
  <si>
    <t xml:space="preserve">Pololu</t>
  </si>
  <si>
    <t xml:space="preserve">#2831</t>
  </si>
  <si>
    <t xml:space="preserve">https://www.pololu.com/product/2831</t>
  </si>
  <si>
    <t xml:space="preserve">2S -&gt; 5 V for the Feather USB pin. 1 + spare</t>
  </si>
  <si>
    <t xml:space="preserve">vendor 2026-10-16</t>
  </si>
  <si>
    <t xml:space="preserve">Pololu Mini MOSFET slide switch LV</t>
  </si>
  <si>
    <t xml:space="preserve">#2810</t>
  </si>
  <si>
    <t xml:space="preserve">https://www.pololu.com/product/2810</t>
  </si>
  <si>
    <t xml:space="preserve">Main power switch; screw switch on CTRL. 1 + spare (Pololu lists it as rationed)</t>
  </si>
  <si>
    <t xml:space="preserve">MK2 rocketry screw switch (2 pack)</t>
  </si>
  <si>
    <t xml:space="preserve">Tindie (concreted0g)</t>
  </si>
  <si>
    <t xml:space="preserve">M2 PEM-nut screw switch</t>
  </si>
  <si>
    <t xml:space="preserve">https://www.tindie.com/products/concreted0g/mk2-rocketry-screw-switches</t>
  </si>
  <si>
    <t xml:space="preserve">Internal CTRL switch reached through the 3 mm wall hole. Price not shown on the page; the listing gates shipping by country</t>
  </si>
  <si>
    <t xml:space="preserve">XT30 LiPo pigtail with 35 V 470 uF capacitor, 16 AWG (3 pcs)</t>
  </si>
  <si>
    <t xml:space="preserve">GetFPV</t>
  </si>
  <si>
    <t xml:space="preserve">XT30 + 470 uF</t>
  </si>
  <si>
    <t xml:space="preserve">https://www.getfpv.com/xt30-lipo-pigtail-w-35v-470uf-capacitor-16awg-3pcs.html</t>
  </si>
  <si>
    <t xml:space="preserve">Battery lead to the power board; the cap doubles as the servo bulk cap</t>
  </si>
  <si>
    <t xml:space="preserve">Recovery + ejection path</t>
  </si>
  <si>
    <t xml:space="preserve">Aluminium tube 3/8 in OD x 0.035 in wall, 6061-T6, 24 in</t>
  </si>
  <si>
    <t xml:space="preserve">Speedy Metals</t>
  </si>
  <si>
    <t xml:space="preserve">p-4553</t>
  </si>
  <si>
    <t xml:space="preserve">https://speedymetals.com/p-4553-38-od-x-0035-wall-tube-6061-t6-aluminum.aspx</t>
  </si>
  <si>
    <t xml:space="preserve">Ejection bypass tube on the centreline (cut to 195 mm); 24 in gives two tubes + scrap</t>
  </si>
  <si>
    <t xml:space="preserve">vendor 2026-10-16 (24 in option)</t>
  </si>
  <si>
    <t xml:space="preserve">Buna-N O-ring AS568-012 (9.25 x 1.78 mm), 70A</t>
  </si>
  <si>
    <t xml:space="preserve">Marco Rubber</t>
  </si>
  <si>
    <t xml:space="preserve">B1003-012</t>
  </si>
  <si>
    <t xml:space="preserve">https://www.marcorubber.com/product/B1003-012</t>
  </si>
  <si>
    <t xml:space="preserve">Bypass tube seals at the plenum and the RB floor; price appears after entering a quantity (buy 10)</t>
  </si>
  <si>
    <t xml:space="preserve">M2 nylon shear pins, starter pack (10 + M2 tap)</t>
  </si>
  <si>
    <t xml:space="preserve">LOC Precision</t>
  </si>
  <si>
    <t xml:space="preserve">M2 shear pins</t>
  </si>
  <si>
    <t xml:space="preserve">https://locprecision.com/products/m2-shear-pins</t>
  </si>
  <si>
    <t xml:space="preserve">Nose retention, 2 pins. Replaces #2-56 nylon (2.0 vs 2.18 mm)</t>
  </si>
  <si>
    <t xml:space="preserve">vendor 2026-10-16, available</t>
  </si>
  <si>
    <t xml:space="preserve">Stainless eye bolt #10-24 x 2 in with nut (10 pack)</t>
  </si>
  <si>
    <t xml:space="preserve">Home Depot (Hillman 4283)</t>
  </si>
  <si>
    <t xml:space="preserve">Hillman 4283</t>
  </si>
  <si>
    <t xml:space="preserve">https://www.homedepot.com/p/Hillman-10-24-tpi-x-2-in-Stainless-Steel-Eye-Bolt-with-Nut-10-Pack-4283/204775387</t>
  </si>
  <si>
    <t xml:space="preserve">Shock-cord anchor on the RB floor, 20 mm off-axis; replaces M5 x 20 (#10 = 4.83 mm, same 5 mm hole). Trim the shank</t>
  </si>
  <si>
    <t xml:space="preserve">Stainless quick link 3/16 in</t>
  </si>
  <si>
    <t xml:space="preserve">Home Depot (Everbilt 41564)</t>
  </si>
  <si>
    <t xml:space="preserve">Everbilt 41564</t>
  </si>
  <si>
    <t xml:space="preserve">https://www.homedepot.com/p/Everbilt-3-16-in-Stainless-Steel-Quick-Link-41564/205882822</t>
  </si>
  <si>
    <t xml:space="preserve">Cord -&gt; chute and cord -&gt; nose</t>
  </si>
  <si>
    <t xml:space="preserve">Nickel-plated swivel 4/0 (pair), 400 lb</t>
  </si>
  <si>
    <t xml:space="preserve">Swivel4Pair</t>
  </si>
  <si>
    <t xml:space="preserve">https://locprecision.com/products/nickel-plated-swivels</t>
  </si>
  <si>
    <t xml:space="preserve">Between quick link and chute to stop line twist</t>
  </si>
  <si>
    <t xml:space="preserve">Daisy PrecisionMax steel BBs, 4000 ct</t>
  </si>
  <si>
    <t xml:space="preserve">Academy Sports</t>
  </si>
  <si>
    <t xml:space="preserve">4.5 mm steel</t>
  </si>
  <si>
    <t xml:space="preserve">https://www.academy.com/p/daisy-precision-max-premium-bbs-4-000-count</t>
  </si>
  <si>
    <t xml:space="preserve">Nose ballast (214 g = about 630 BBs, epoxied; rev 3d)</t>
  </si>
  <si>
    <t xml:space="preserve">Propulsion</t>
  </si>
  <si>
    <t xml:space="preserve">AeroTech Econojet F42-4T single-use 29 x 83 mm Blue Thunder, 2-pack</t>
  </si>
  <si>
    <t xml:space="preserve">eRockets</t>
  </si>
  <si>
    <t xml:space="preserve">AER 64204, 4 s delay</t>
  </si>
  <si>
    <t xml:space="preserve">https://www.erockets.biz/aerotech-29mm-composite-model-rocket-motor-single-use-f42-4t-2pk-aer-64204-required-to-pay-for-ups-ground-shipping/</t>
  </si>
  <si>
    <t xml:space="preserve">3 research flights + 1 spare (4 motors). eRockets showed 4 packs in stock on 2026-10-16; New Century ($43.99) was sold out. UPS ground, continental US only</t>
  </si>
  <si>
    <t xml:space="preserve">vendor 2026-10-16, stock 4</t>
  </si>
  <si>
    <t xml:space="preserve">Estes 1010 rail buttons (pair, with screws)</t>
  </si>
  <si>
    <t xml:space="preserve">Estes</t>
  </si>
  <si>
    <t xml:space="preserve">1010</t>
  </si>
  <si>
    <t xml:space="preserve">https://estesrockets.com/products/1010-rail-buttons</t>
  </si>
  <si>
    <t xml:space="preserve">Estes Pro Series II rail (6 ft, 1010)</t>
  </si>
  <si>
    <t xml:space="preserve">Hardware + material</t>
  </si>
  <si>
    <t xml:space="preserve">Metric socket-cap screw kit, A2 stainless, M2-M8, 441 pcs</t>
  </si>
  <si>
    <t xml:space="preserve">Albany County Fasteners</t>
  </si>
  <si>
    <t xml:space="preserve">1060-090</t>
  </si>
  <si>
    <t xml:space="preserve">https://www.albanycountyfasteners.com/metric-socket-cap-screw-assortment-kit-p/1060-090.htm</t>
  </si>
  <si>
    <t xml:space="preserve">Board screws into the spine's M2 heat-set inserts (owned), servo ears, joints, retainer, hubs, pads</t>
  </si>
  <si>
    <t xml:space="preserve">Bambu Lab ASA-Aero 1.75 mm 1 kg</t>
  </si>
  <si>
    <t xml:space="preserve">MatterHackers</t>
  </si>
  <si>
    <t xml:space="preserve">M264H2ZL</t>
  </si>
  <si>
    <t xml:space="preserve">https://www.matterhackers.com/store/l/bambu-lab-asa-aero-filament-175mm-1kg/sk/M264H2ZL</t>
  </si>
  <si>
    <t xml:space="preserve">Tubes + nose (~200 g). Buy only if the old roll is low; Bambu's own store page would not load for verification</t>
  </si>
  <si>
    <t xml:space="preserve">TOTAL</t>
  </si>
  <si>
    <t xml:space="preserve">Blue = inputs (qty, unit price). Line and totals are formulas. 'est.' prices: confirm at checkout.</t>
  </si>
  <si>
    <t xml:space="preserve">Jerrod H tunnel adaptation — Phase A only: single fin in the stock section</t>
  </si>
  <si>
    <t xml:space="preserve">See Documentation/Wind_Tunnel_Adaptation.md</t>
  </si>
  <si>
    <t xml:space="preserve">Airflow</t>
  </si>
  <si>
    <t xml:space="preserve">AC Infinity Cloudline PRO T8 inline duct fan, 8 in</t>
  </si>
  <si>
    <t xml:space="preserve">Mini Split Systems Direct</t>
  </si>
  <si>
    <t xml:space="preserve">AI-CLT8</t>
  </si>
  <si>
    <t xml:space="preserve">https://minisplitsystemsdirect.com/products/ac-infinity-cloudline-pro-t8-quiet-inline-duct-fan-system-with-temperature-humidity-vpd-controller-8-inch</t>
  </si>
  <si>
    <t xml:space="preserve">Replaces the 140 mm Noctua: ~12 m/s in the stock section. In stock here; AC Infinity, Hydrobuilder and Happy Hydro ($199) were all out of stock on 2026-10-16</t>
  </si>
  <si>
    <t xml:space="preserve">AC Infinity stainless duct clamps 8 in (2 pack)</t>
  </si>
  <si>
    <t xml:space="preserve">AC Infinity</t>
  </si>
  <si>
    <t xml:space="preserve">AC-DCA8-2</t>
  </si>
  <si>
    <t xml:space="preserve">https://acinfinity.com/hydroponics-growers/stainless-steel-duct-clamps-8-inch-two-pack</t>
  </si>
  <si>
    <t xml:space="preserve">Fan to the printed 100 sq -&gt; 8 in transitions</t>
  </si>
  <si>
    <t xml:space="preserve">Phase A (single fin, stock section)</t>
  </si>
  <si>
    <t xml:space="preserve">KST X08 Plus HV micro servo</t>
  </si>
  <si>
    <t xml:space="preserve">X08+</t>
  </si>
  <si>
    <t xml:space="preserve">Drives the half-model fin on the balance cradle (keeps the flight servos on the airframe)</t>
  </si>
  <si>
    <t xml:space="preserve">Balance + instrumentation</t>
  </si>
  <si>
    <t xml:space="preserve">SparkFun Qwiic Scale NAU7802</t>
  </si>
  <si>
    <t xml:space="preserve">SEN-15242</t>
  </si>
  <si>
    <t xml:space="preserve">https://www.sparkfun.com/sparkfun-qwiic-scale-nau7802.html</t>
  </si>
  <si>
    <t xml:space="preserve">24-bit load-cell ADC, one per cell, behind the owned PCA9548 mux (fixed 0x2A)</t>
  </si>
  <si>
    <t xml:space="preserve">Mini load cell 100 g, straight bar (TAL221)</t>
  </si>
  <si>
    <t xml:space="preserve">SEN-14727</t>
  </si>
  <si>
    <t xml:space="preserve">https://www.sparkfun.com/mini-load-cell-100g-straight-bar-tal221.html</t>
  </si>
  <si>
    <t xml:space="preserve">Under the servo cradle: normal force and hinge-line moment</t>
  </si>
  <si>
    <t xml:space="preserve">Sensirion SDP810-125Pa differential pressure sensor</t>
  </si>
  <si>
    <t xml:space="preserve">SDP810-125PA</t>
  </si>
  <si>
    <t xml:space="preserve">https://www.digikey.com/en/products/detail/sensirion-ag/SDP810-125PA/6605488</t>
  </si>
  <si>
    <t xml:space="preserve">Pitot dynamic pressure (q ~ 85 Pa at 12 m/s; 125 Pa full scale)</t>
  </si>
  <si>
    <t xml:space="preserve">Prandtl pitot tube + 40 cm silicone tubing (2 mm ID)</t>
  </si>
  <si>
    <t xml:space="preserve">ReadyMadeRC</t>
  </si>
  <si>
    <t xml:space="preserve">RMRC replacement pitot</t>
  </si>
  <si>
    <t xml:space="preserve">https://www.readymaderc.com/products/details/rmrc-replacement-pitot-tube-for-matek</t>
  </si>
  <si>
    <t xml:space="preserve">Upstream of the model on the centreline, into the SDP810</t>
  </si>
  <si>
    <t xml:space="preserve">USB Type-C extension cable 2 m</t>
  </si>
  <si>
    <t xml:space="preserve">PID 5216</t>
  </si>
  <si>
    <t xml:space="preserve">https://www.adafruit.com/product/5216</t>
  </si>
  <si>
    <t xml:space="preserve">Tether to the model's Feather in tunnel mode</t>
  </si>
  <si>
    <t xml:space="preserve">Print material</t>
  </si>
  <si>
    <t xml:space="preserve">MatterHackers PRO Series PETG black 1.75 mm 1 kg</t>
  </si>
  <si>
    <t xml:space="preserve">MGTE765N</t>
  </si>
  <si>
    <t xml:space="preserve">https://www.matterhackers.com/store/l/black-pro-series-petg-high-strength-filament-1.75mm/sk/MGTE765N</t>
  </si>
  <si>
    <t xml:space="preserve">Adapter, transition, cradle and fairings (~0.8 kg for Phase A). The page did not show a price to the fetcher</t>
  </si>
  <si>
    <t xml:space="preserve">Already owned and reused (verify counts on the shelf)</t>
  </si>
  <si>
    <t xml:space="preserve">Role in the fin-control build</t>
  </si>
  <si>
    <t xml:space="preserve">Raspberry Pi Pico 2 W</t>
  </si>
  <si>
    <t xml:space="preserve">Tunnel balance DAQ (1) + spare (the ground station is now a second Feather RP2040 RFM95)</t>
  </si>
  <si>
    <t xml:space="preserve">Adafruit BNO085 (4754)</t>
  </si>
  <si>
    <t xml:space="preserve">1 flight IMU on the spine's +X face; spares</t>
  </si>
  <si>
    <t xml:space="preserve">Adafruit BME688 (5046)</t>
  </si>
  <si>
    <t xml:space="preserve">Flight baro + spare</t>
  </si>
  <si>
    <t xml:space="preserve">Adafruit microSD breakout (254) + 32 GB cards</t>
  </si>
  <si>
    <t xml:space="preserve">Cards go in the 4682; the 254 board itself is too wide for the spine (bench / ground-station logging)</t>
  </si>
  <si>
    <t xml:space="preserve">OVONIC 2S 450 mAh LiPo (XT30)</t>
  </si>
  <si>
    <t xml:space="preserve">Flight battery (4.2x margin on the 26-min mission)</t>
  </si>
  <si>
    <t xml:space="preserve">2S/3S balance charger</t>
  </si>
  <si>
    <t xml:space="preserve">Charging</t>
  </si>
  <si>
    <t xml:space="preserve">470 uF low-ESR + 100 nF; 100k/47k 1 % resistors</t>
  </si>
  <si>
    <t xml:space="preserve">Servo bulk cap, Vbat divider (same values as the TVC board)</t>
  </si>
  <si>
    <t xml:space="preserve">Adafruit PCA9548 I2C mux (5626)</t>
  </si>
  <si>
    <t xml:space="preserve">Tunnel balance: the two NAU7802s share address 0x2A</t>
  </si>
  <si>
    <t xml:space="preserve">STEMMA QT 300 mm cables (5384)</t>
  </si>
  <si>
    <t xml:space="preserve">Feather -&gt; BNO085 (Wire1); tunnel balance</t>
  </si>
  <si>
    <t xml:space="preserve">Estes Pro Series II launch rail (6 ft) + controller</t>
  </si>
  <si>
    <t xml:space="preserve">Launch system (stated on hand)</t>
  </si>
  <si>
    <t xml:space="preserve">Estes F15-4 motors</t>
  </si>
  <si>
    <t xml:space="preserve">Static-stand thrust runs only; 114 mm long, does not fit the 83 mm motor bay</t>
  </si>
  <si>
    <t xml:space="preserve">Static thrust stand + deflector (Motor Test Stand/)</t>
  </si>
  <si>
    <t xml:space="preserve">F42-4T thrust-curve check (use the spare motor) before flight</t>
  </si>
  <si>
    <t xml:space="preserve">Adafruit load cells 1 kg x2, 5 kg x2; HX711 x4; calibration weights</t>
  </si>
  <si>
    <t xml:space="preserve">Static stand; balance calibration</t>
  </si>
  <si>
    <t xml:space="preserve">Filament: PC-FR, PETG-CF, ASA (black), ASA-Aero, PLA</t>
  </si>
  <si>
    <t xml:space="preserve">Plenum/MMT/retainer (PC-FR), fins/hubs/deck (PETG-CF), tubes (ASA-Aero)</t>
  </si>
  <si>
    <t xml:space="preserve">Heat-set insert kit M2-M6, J-B Weld, Kapton, 24 AWG silicone wire, heat-shrink, headers</t>
  </si>
  <si>
    <t xml:space="preserve">Assembly</t>
  </si>
  <si>
    <t xml:space="preserve">Nomex chute protector 12x12 in</t>
  </si>
  <si>
    <t xml:space="preserve">Recovery bay</t>
  </si>
  <si>
    <t xml:space="preserve">Estes 24 in rip-stop chute, aramid shock cord 19 ft</t>
  </si>
  <si>
    <t xml:space="preserve">VERIFY these arrived (they were on the TVC cart)</t>
  </si>
  <si>
    <t xml:space="preserve">Jerrod H tunnel kit: STLs, 40 + 80 mesh, magnets, Loc-Line, CF3 fog machine, OXLasers line laser, P96L light</t>
  </si>
  <si>
    <t xml:space="preserve">Upstream modules, screens, smoke + laser sheet reused unchanged</t>
  </si>
  <si>
    <t xml:space="preserve">Mechatronics MS1238 120 mm fan</t>
  </si>
  <si>
    <t xml:space="preserve">Spare; not used (Cloudline T8 replaces the fan)</t>
  </si>
  <si>
    <t xml:space="preserve">Owned but not used by the fin-control vehicle (resell / keep for other projects)</t>
  </si>
  <si>
    <t xml:space="preserve">Was used for</t>
  </si>
  <si>
    <t xml:space="preserve">EMAX ES08MA II servos</t>
  </si>
  <si>
    <t xml:space="preserve">TVC gimbal; too tall for the single servo ring (needs &lt;= 17 mm body height around the central bypass)</t>
  </si>
  <si>
    <t xml:space="preserve">MR105-2RS bearings, M2 rod-end ball links</t>
  </si>
  <si>
    <t xml:space="preserve">TVC gimbal linkage</t>
  </si>
  <si>
    <t xml:space="preserve">Electromagnets (TOMSHIELE, AIRTAK), N52 magnets, IRF520, 1N4007, 12 V PSU</t>
  </si>
  <si>
    <t xml:space="preserve">Magnetic TVC stand</t>
  </si>
  <si>
    <t xml:space="preserve">TMAG5273 Hall sensor, Arduino Nano</t>
  </si>
  <si>
    <t xml:space="preserve">Magnetic-gimbal sensing / solenoid DAQ</t>
  </si>
  <si>
    <t xml:space="preserve">VL53L4CD ToF x6</t>
  </si>
  <si>
    <t xml:space="preserve">Unused in both revisions</t>
  </si>
  <si>
    <t xml:space="preserve">301 SS foil</t>
  </si>
  <si>
    <t xml:space="preserve">TVC balance flexures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</si>
</sst>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714" TargetMode="External"/><Relationship Id="rId2" Type="http://schemas.openxmlformats.org/officeDocument/2006/relationships/hyperlink" Target="https://www.digikey.com/en/products/detail/adafruit-industries-llc/5374/15998640" TargetMode="External"/><Relationship Id="rId3" Type="http://schemas.openxmlformats.org/officeDocument/2006/relationships/hyperlink" Target="https://www.adafruit.com/product/4209" TargetMode="External"/><Relationship Id="rId4" Type="http://schemas.openxmlformats.org/officeDocument/2006/relationships/hyperlink" Target="https://www.adafruit.com/product/4210" TargetMode="External"/><Relationship Id="rId5" Type="http://schemas.openxmlformats.org/officeDocument/2006/relationships/hyperlink" Target="https://www.adafruit.com/product/851" TargetMode="External"/><Relationship Id="rId6" Type="http://schemas.openxmlformats.org/officeDocument/2006/relationships/hyperlink" Target="https://www.digikey.com/en/products/detail/te-connectivity-linx/ANT-916-CW-HW-SMA/2694126" TargetMode="External"/><Relationship Id="rId7" Type="http://schemas.openxmlformats.org/officeDocument/2006/relationships/hyperlink" Target="https://www.adafruit.com/product/4682" TargetMode="External"/><Relationship Id="rId8" Type="http://schemas.openxmlformats.org/officeDocument/2006/relationships/hyperlink" Target="https://www.adafruit.com/product/160" TargetMode="External"/><Relationship Id="rId9" Type="http://schemas.openxmlformats.org/officeDocument/2006/relationships/hyperlink" Target="https://www.adafruit.com/product/756" TargetMode="External"/><Relationship Id="rId10" Type="http://schemas.openxmlformats.org/officeDocument/2006/relationships/hyperlink" Target="https://www.digikey.com/en/products/detail/stackpole-electronics-inc/CF14JT1K00/1741314" TargetMode="External"/><Relationship Id="rId11" Type="http://schemas.openxmlformats.org/officeDocument/2006/relationships/hyperlink" Target="https://www.sparkfun.com/sparkfun-solder-able-breadboard.html" TargetMode="External"/><Relationship Id="rId12" Type="http://schemas.openxmlformats.org/officeDocument/2006/relationships/hyperlink" Target="https://alofthobbies.com/products/kst-x08-servo-5-30kg-73-60-oz-in-0-09-sec-wide-voltage" TargetMode="External"/><Relationship Id="rId13" Type="http://schemas.openxmlformats.org/officeDocument/2006/relationships/hyperlink" Target="https://www.woodcraft.com/products/wixey-digital-angle-gauge-with-backlight-type-2-wr300" TargetMode="External"/><Relationship Id="rId14" Type="http://schemas.openxmlformats.org/officeDocument/2006/relationships/hyperlink" Target="https://www.pololu.com/product/2831" TargetMode="External"/><Relationship Id="rId15" Type="http://schemas.openxmlformats.org/officeDocument/2006/relationships/hyperlink" Target="https://www.pololu.com/product/2810" TargetMode="External"/><Relationship Id="rId16" Type="http://schemas.openxmlformats.org/officeDocument/2006/relationships/hyperlink" Target="https://www.tindie.com/products/concreted0g/mk2-rocketry-screw-switches" TargetMode="External"/><Relationship Id="rId17" Type="http://schemas.openxmlformats.org/officeDocument/2006/relationships/hyperlink" Target="https://www.getfpv.com/xt30-lipo-pigtail-w-35v-470uf-capacitor-16awg-3pcs.html" TargetMode="External"/><Relationship Id="rId18" Type="http://schemas.openxmlformats.org/officeDocument/2006/relationships/hyperlink" Target="https://speedymetals.com/p-4553-38-od-x-0035-wall-tube-6061-t6-aluminum.aspx" TargetMode="External"/><Relationship Id="rId19" Type="http://schemas.openxmlformats.org/officeDocument/2006/relationships/hyperlink" Target="https://www.marcorubber.com/product/B1003-012" TargetMode="External"/><Relationship Id="rId20" Type="http://schemas.openxmlformats.org/officeDocument/2006/relationships/hyperlink" Target="https://locprecision.com/products/m2-shear-pins" TargetMode="External"/><Relationship Id="rId21" Type="http://schemas.openxmlformats.org/officeDocument/2006/relationships/hyperlink" Target="https://www.homedepot.com/p/Hillman-10-24-tpi-x-2-in-Stainless-Steel-Eye-Bolt-with-Nut-10-Pack-4283/204775387" TargetMode="External"/><Relationship Id="rId22" Type="http://schemas.openxmlformats.org/officeDocument/2006/relationships/hyperlink" Target="https://www.homedepot.com/p/Everbilt-3-16-in-Stainless-Steel-Quick-Link-41564/205882822" TargetMode="External"/><Relationship Id="rId23" Type="http://schemas.openxmlformats.org/officeDocument/2006/relationships/hyperlink" Target="https://locprecision.com/products/nickel-plated-swivels" TargetMode="External"/><Relationship Id="rId24" Type="http://schemas.openxmlformats.org/officeDocument/2006/relationships/hyperlink" Target="https://www.academy.com/p/daisy-precision-max-premium-bbs-4-000-count" TargetMode="External"/><Relationship Id="rId25" Type="http://schemas.openxmlformats.org/officeDocument/2006/relationships/hyperlink" Target="https://www.erockets.biz/aerotech-29mm-composite-model-rocket-motor-single-use-f42-4t-2pk-aer-64204-required-to-pay-for-ups-ground-shipping/" TargetMode="External"/><Relationship Id="rId26" Type="http://schemas.openxmlformats.org/officeDocument/2006/relationships/hyperlink" Target="https://estesrockets.com/products/1010-rail-buttons" TargetMode="External"/><Relationship Id="rId27" Type="http://schemas.openxmlformats.org/officeDocument/2006/relationships/hyperlink" Target="https://www.albanycountyfasteners.com/metric-socket-cap-screw-assortment-kit-p/1060-090.htm" TargetMode="External"/><Relationship Id="rId28" Type="http://schemas.openxmlformats.org/officeDocument/2006/relationships/hyperlink" Target="https://www.matterhackers.com/store/l/bambu-lab-asa-aero-filament-175mm-1kg/sk/M264H2Z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inisplitsystemsdirect.com/products/ac-infinity-cloudline-pro-t8-quiet-inline-duct-fan-system-with-temperature-humidity-vpd-controller-8-inch" TargetMode="External"/><Relationship Id="rId2" Type="http://schemas.openxmlformats.org/officeDocument/2006/relationships/hyperlink" Target="https://acinfinity.com/hydroponics-growers/stainless-steel-duct-clamps-8-inch-two-pack" TargetMode="External"/><Relationship Id="rId3" Type="http://schemas.openxmlformats.org/officeDocument/2006/relationships/hyperlink" Target="https://alofthobbies.com/products/kst-x08-servo-5-30kg-73-60-oz-in-0-09-sec-wide-voltage" TargetMode="External"/><Relationship Id="rId4" Type="http://schemas.openxmlformats.org/officeDocument/2006/relationships/hyperlink" Target="https://www.sparkfun.com/sparkfun-qwiic-scale-nau7802.html" TargetMode="External"/><Relationship Id="rId5" Type="http://schemas.openxmlformats.org/officeDocument/2006/relationships/hyperlink" Target="https://www.sparkfun.com/mini-load-cell-100g-straight-bar-tal221.html" TargetMode="External"/><Relationship Id="rId6" Type="http://schemas.openxmlformats.org/officeDocument/2006/relationships/hyperlink" Target="https://www.digikey.com/en/products/detail/sensirion-ag/SDP810-125PA/6605488" TargetMode="External"/><Relationship Id="rId7" Type="http://schemas.openxmlformats.org/officeDocument/2006/relationships/hyperlink" Target="https://www.readymaderc.com/products/details/rmrc-replacement-pitot-tube-for-matek" TargetMode="External"/><Relationship Id="rId8" Type="http://schemas.openxmlformats.org/officeDocument/2006/relationships/hyperlink" Target="https://www.adafruit.com/product/5216" TargetMode="External"/><Relationship Id="rId9" Type="http://schemas.openxmlformats.org/officeDocument/2006/relationships/hyperlink" Target="https://www.matterhackers.com/store/l/black-pro-series-petg-high-strength-filament-1.75mm/sk/MGTE765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'To Buy - Flight'!H51</f>
        <v>760.97</v>
      </c>
    </row>
    <row r="4" customFormat="false" ht="15" hidden="false" customHeight="false" outlineLevel="0" collapsed="false">
      <c r="A4" s="2" t="s">
        <v>2</v>
      </c>
      <c r="B4" s="3" t="n">
        <f aca="false">'To Buy - Wind Tunnel'!H26</f>
        <v>401.83</v>
      </c>
    </row>
    <row r="5" customFormat="false" ht="15" hidden="false" customHeight="false" outlineLevel="0" collapsed="false">
      <c r="A5" s="4" t="s">
        <v>3</v>
      </c>
      <c r="B5" s="5" t="n">
        <f aca="false">B3+B4</f>
        <v>1162.8</v>
      </c>
    </row>
    <row r="7" customFormat="false" ht="15" hidden="false" customHeight="false" outlineLevel="0" collapsed="false">
      <c r="A7" s="6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58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5</v>
      </c>
    </row>
    <row r="2" customFormat="false" ht="15" hidden="false" customHeight="false" outlineLevel="0" collapsed="false">
      <c r="A2" s="7" t="s">
        <v>6</v>
      </c>
    </row>
    <row r="4" customFormat="false" ht="15" hidden="false" customHeight="false" outlineLevel="0" collapsed="false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customFormat="false" ht="15" hidden="false" customHeight="false" outlineLevel="0" collapsed="false">
      <c r="A5" s="9" t="s">
        <v>16</v>
      </c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11" t="s">
        <v>17</v>
      </c>
      <c r="B6" s="12" t="s">
        <v>18</v>
      </c>
      <c r="C6" s="12" t="s">
        <v>19</v>
      </c>
      <c r="D6" s="13" t="s">
        <v>20</v>
      </c>
      <c r="E6" s="11" t="s">
        <v>21</v>
      </c>
      <c r="F6" s="14" t="n">
        <v>3</v>
      </c>
      <c r="G6" s="15" t="n">
        <v>29.95</v>
      </c>
      <c r="H6" s="16" t="n">
        <f aca="false">F6*G6</f>
        <v>89.85</v>
      </c>
      <c r="I6" s="12" t="s">
        <v>22</v>
      </c>
    </row>
    <row r="7" customFormat="false" ht="35.05" hidden="false" customHeight="false" outlineLevel="0" collapsed="false">
      <c r="A7" s="11" t="s">
        <v>23</v>
      </c>
      <c r="B7" s="12" t="s">
        <v>24</v>
      </c>
      <c r="C7" s="12" t="s">
        <v>25</v>
      </c>
      <c r="D7" s="13" t="s">
        <v>26</v>
      </c>
      <c r="E7" s="11" t="s">
        <v>27</v>
      </c>
      <c r="F7" s="14" t="n">
        <v>1</v>
      </c>
      <c r="G7" s="15" t="n">
        <v>24.95</v>
      </c>
      <c r="H7" s="16" t="n">
        <f aca="false">F7*G7</f>
        <v>24.95</v>
      </c>
      <c r="I7" s="12" t="s">
        <v>28</v>
      </c>
    </row>
    <row r="8" customFormat="false" ht="15" hidden="false" customHeight="false" outlineLevel="0" collapsed="false">
      <c r="A8" s="11" t="s">
        <v>29</v>
      </c>
      <c r="B8" s="12" t="s">
        <v>18</v>
      </c>
      <c r="C8" s="12" t="s">
        <v>30</v>
      </c>
      <c r="D8" s="13" t="s">
        <v>31</v>
      </c>
      <c r="E8" s="11" t="s">
        <v>32</v>
      </c>
      <c r="F8" s="14" t="n">
        <v>1</v>
      </c>
      <c r="G8" s="15" t="n">
        <v>0.95</v>
      </c>
      <c r="H8" s="16" t="n">
        <f aca="false">F8*G8</f>
        <v>0.95</v>
      </c>
      <c r="I8" s="12" t="s">
        <v>22</v>
      </c>
    </row>
    <row r="9" customFormat="false" ht="15" hidden="false" customHeight="false" outlineLevel="0" collapsed="false">
      <c r="A9" s="11" t="s">
        <v>33</v>
      </c>
      <c r="B9" s="12" t="s">
        <v>18</v>
      </c>
      <c r="C9" s="12" t="s">
        <v>34</v>
      </c>
      <c r="D9" s="13" t="s">
        <v>35</v>
      </c>
      <c r="E9" s="11" t="s">
        <v>36</v>
      </c>
      <c r="F9" s="14" t="n">
        <v>1</v>
      </c>
      <c r="G9" s="15" t="n">
        <v>0.95</v>
      </c>
      <c r="H9" s="16" t="n">
        <f aca="false">F9*G9</f>
        <v>0.95</v>
      </c>
      <c r="I9" s="12" t="s">
        <v>22</v>
      </c>
    </row>
    <row r="10" customFormat="false" ht="15" hidden="false" customHeight="false" outlineLevel="0" collapsed="false">
      <c r="A10" s="11" t="s">
        <v>37</v>
      </c>
      <c r="B10" s="12" t="s">
        <v>18</v>
      </c>
      <c r="C10" s="12" t="s">
        <v>38</v>
      </c>
      <c r="D10" s="13" t="s">
        <v>39</v>
      </c>
      <c r="E10" s="11" t="s">
        <v>40</v>
      </c>
      <c r="F10" s="14" t="n">
        <v>1</v>
      </c>
      <c r="G10" s="15" t="n">
        <v>3.95</v>
      </c>
      <c r="H10" s="16" t="n">
        <f aca="false">F10*G10</f>
        <v>3.95</v>
      </c>
      <c r="I10" s="12" t="s">
        <v>22</v>
      </c>
    </row>
    <row r="11" customFormat="false" ht="35.05" hidden="false" customHeight="false" outlineLevel="0" collapsed="false">
      <c r="A11" s="11" t="s">
        <v>41</v>
      </c>
      <c r="B11" s="12" t="s">
        <v>24</v>
      </c>
      <c r="C11" s="12" t="s">
        <v>42</v>
      </c>
      <c r="D11" s="13" t="s">
        <v>43</v>
      </c>
      <c r="E11" s="11" t="s">
        <v>44</v>
      </c>
      <c r="F11" s="14" t="n">
        <v>1</v>
      </c>
      <c r="G11" s="15" t="n">
        <v>16</v>
      </c>
      <c r="H11" s="16" t="n">
        <f aca="false">F11*G11</f>
        <v>16</v>
      </c>
      <c r="I11" s="12" t="s">
        <v>45</v>
      </c>
    </row>
    <row r="12" customFormat="false" ht="15" hidden="false" customHeight="false" outlineLevel="0" collapsed="false">
      <c r="A12" s="11" t="s">
        <v>46</v>
      </c>
      <c r="B12" s="12" t="s">
        <v>18</v>
      </c>
      <c r="C12" s="12" t="s">
        <v>47</v>
      </c>
      <c r="D12" s="13" t="s">
        <v>48</v>
      </c>
      <c r="E12" s="11" t="s">
        <v>49</v>
      </c>
      <c r="F12" s="14" t="n">
        <v>2</v>
      </c>
      <c r="G12" s="15" t="n">
        <v>3.5</v>
      </c>
      <c r="H12" s="16" t="n">
        <f aca="false">F12*G12</f>
        <v>7</v>
      </c>
      <c r="I12" s="12" t="s">
        <v>22</v>
      </c>
    </row>
    <row r="13" customFormat="false" ht="15" hidden="false" customHeight="false" outlineLevel="0" collapsed="false">
      <c r="A13" s="11" t="s">
        <v>50</v>
      </c>
      <c r="B13" s="12" t="s">
        <v>18</v>
      </c>
      <c r="C13" s="12" t="s">
        <v>51</v>
      </c>
      <c r="D13" s="13" t="s">
        <v>52</v>
      </c>
      <c r="E13" s="11" t="s">
        <v>53</v>
      </c>
      <c r="F13" s="14" t="n">
        <v>1</v>
      </c>
      <c r="G13" s="15" t="n">
        <v>1.5</v>
      </c>
      <c r="H13" s="16" t="n">
        <f aca="false">F13*G13</f>
        <v>1.5</v>
      </c>
      <c r="I13" s="12" t="s">
        <v>22</v>
      </c>
    </row>
    <row r="14" customFormat="false" ht="15" hidden="false" customHeight="false" outlineLevel="0" collapsed="false">
      <c r="A14" s="11" t="s">
        <v>54</v>
      </c>
      <c r="B14" s="12" t="s">
        <v>18</v>
      </c>
      <c r="C14" s="12" t="s">
        <v>55</v>
      </c>
      <c r="D14" s="13" t="s">
        <v>56</v>
      </c>
      <c r="E14" s="11" t="s">
        <v>57</v>
      </c>
      <c r="F14" s="14" t="n">
        <v>1</v>
      </c>
      <c r="G14" s="15" t="n">
        <v>1.95</v>
      </c>
      <c r="H14" s="16" t="n">
        <f aca="false">F14*G14</f>
        <v>1.95</v>
      </c>
      <c r="I14" s="12" t="s">
        <v>22</v>
      </c>
    </row>
    <row r="15" customFormat="false" ht="15" hidden="false" customHeight="false" outlineLevel="0" collapsed="false">
      <c r="A15" s="11" t="s">
        <v>58</v>
      </c>
      <c r="B15" s="12" t="s">
        <v>24</v>
      </c>
      <c r="C15" s="12" t="s">
        <v>59</v>
      </c>
      <c r="D15" s="13" t="s">
        <v>60</v>
      </c>
      <c r="E15" s="11" t="s">
        <v>61</v>
      </c>
      <c r="F15" s="14" t="n">
        <v>10</v>
      </c>
      <c r="G15" s="15" t="n">
        <v>0.1</v>
      </c>
      <c r="H15" s="16" t="n">
        <f aca="false">F15*G15</f>
        <v>1</v>
      </c>
      <c r="I15" s="12" t="s">
        <v>62</v>
      </c>
    </row>
    <row r="16" customFormat="false" ht="35.05" hidden="false" customHeight="false" outlineLevel="0" collapsed="false">
      <c r="A16" s="11" t="s">
        <v>63</v>
      </c>
      <c r="B16" s="12" t="s">
        <v>64</v>
      </c>
      <c r="C16" s="12" t="s">
        <v>65</v>
      </c>
      <c r="D16" s="13" t="s">
        <v>66</v>
      </c>
      <c r="E16" s="11" t="s">
        <v>67</v>
      </c>
      <c r="F16" s="14" t="n">
        <v>1</v>
      </c>
      <c r="G16" s="15" t="n">
        <v>6.95</v>
      </c>
      <c r="H16" s="16" t="n">
        <f aca="false">F16*G16</f>
        <v>6.95</v>
      </c>
      <c r="I16" s="12" t="s">
        <v>22</v>
      </c>
    </row>
    <row r="17" customFormat="false" ht="15" hidden="false" customHeight="false" outlineLevel="0" collapsed="false">
      <c r="G17" s="4" t="s">
        <v>68</v>
      </c>
      <c r="H17" s="5" t="n">
        <f aca="false">SUM(H6:H16)</f>
        <v>155.05</v>
      </c>
    </row>
    <row r="19" customFormat="false" ht="15" hidden="false" customHeight="false" outlineLevel="0" collapsed="false">
      <c r="A19" s="9" t="s">
        <v>69</v>
      </c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1" t="s">
        <v>70</v>
      </c>
      <c r="B20" s="12" t="s">
        <v>71</v>
      </c>
      <c r="C20" s="12" t="s">
        <v>72</v>
      </c>
      <c r="D20" s="13" t="s">
        <v>73</v>
      </c>
      <c r="E20" s="11" t="s">
        <v>74</v>
      </c>
      <c r="F20" s="14" t="n">
        <v>5</v>
      </c>
      <c r="G20" s="15" t="n">
        <v>45</v>
      </c>
      <c r="H20" s="16" t="n">
        <f aca="false">F20*G20</f>
        <v>225</v>
      </c>
      <c r="I20" s="12" t="s">
        <v>22</v>
      </c>
    </row>
    <row r="21" customFormat="false" ht="15" hidden="false" customHeight="false" outlineLevel="0" collapsed="false">
      <c r="A21" s="11" t="s">
        <v>75</v>
      </c>
      <c r="B21" s="12" t="s">
        <v>76</v>
      </c>
      <c r="C21" s="12" t="s">
        <v>77</v>
      </c>
      <c r="D21" s="13" t="s">
        <v>78</v>
      </c>
      <c r="E21" s="11" t="s">
        <v>79</v>
      </c>
      <c r="F21" s="14" t="n">
        <v>1</v>
      </c>
      <c r="G21" s="15" t="n">
        <v>34.99</v>
      </c>
      <c r="H21" s="16" t="n">
        <f aca="false">F21*G21</f>
        <v>34.99</v>
      </c>
      <c r="I21" s="12" t="s">
        <v>22</v>
      </c>
    </row>
    <row r="22" customFormat="false" ht="15" hidden="false" customHeight="false" outlineLevel="0" collapsed="false">
      <c r="G22" s="4" t="s">
        <v>68</v>
      </c>
      <c r="H22" s="5" t="n">
        <f aca="false">SUM(H20:H21)</f>
        <v>259.99</v>
      </c>
    </row>
    <row r="24" customFormat="false" ht="15" hidden="false" customHeight="false" outlineLevel="0" collapsed="false">
      <c r="A24" s="9" t="s">
        <v>80</v>
      </c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1" t="s">
        <v>81</v>
      </c>
      <c r="B25" s="12" t="s">
        <v>82</v>
      </c>
      <c r="C25" s="12" t="s">
        <v>83</v>
      </c>
      <c r="D25" s="13" t="s">
        <v>84</v>
      </c>
      <c r="E25" s="11" t="s">
        <v>85</v>
      </c>
      <c r="F25" s="14" t="n">
        <v>2</v>
      </c>
      <c r="G25" s="15" t="n">
        <v>12.95</v>
      </c>
      <c r="H25" s="16" t="n">
        <f aca="false">F25*G25</f>
        <v>25.9</v>
      </c>
      <c r="I25" s="12" t="s">
        <v>86</v>
      </c>
    </row>
    <row r="26" customFormat="false" ht="23.85" hidden="false" customHeight="false" outlineLevel="0" collapsed="false">
      <c r="A26" s="11" t="s">
        <v>87</v>
      </c>
      <c r="B26" s="12" t="s">
        <v>82</v>
      </c>
      <c r="C26" s="12" t="s">
        <v>88</v>
      </c>
      <c r="D26" s="13" t="s">
        <v>89</v>
      </c>
      <c r="E26" s="11" t="s">
        <v>90</v>
      </c>
      <c r="F26" s="14" t="n">
        <v>2</v>
      </c>
      <c r="G26" s="15" t="n">
        <v>4.49</v>
      </c>
      <c r="H26" s="16" t="n">
        <f aca="false">F26*G26</f>
        <v>8.98</v>
      </c>
      <c r="I26" s="12" t="s">
        <v>86</v>
      </c>
    </row>
    <row r="27" customFormat="false" ht="23.85" hidden="false" customHeight="false" outlineLevel="0" collapsed="false">
      <c r="A27" s="11" t="s">
        <v>91</v>
      </c>
      <c r="B27" s="12" t="s">
        <v>92</v>
      </c>
      <c r="C27" s="12" t="s">
        <v>93</v>
      </c>
      <c r="D27" s="13" t="s">
        <v>94</v>
      </c>
      <c r="E27" s="11" t="s">
        <v>95</v>
      </c>
      <c r="F27" s="14" t="n">
        <v>1</v>
      </c>
      <c r="G27" s="15" t="n">
        <v>8</v>
      </c>
      <c r="H27" s="16" t="n">
        <f aca="false">F27*G27</f>
        <v>8</v>
      </c>
      <c r="I27" s="12" t="s">
        <v>62</v>
      </c>
    </row>
    <row r="28" customFormat="false" ht="23.85" hidden="false" customHeight="false" outlineLevel="0" collapsed="false">
      <c r="A28" s="11" t="s">
        <v>96</v>
      </c>
      <c r="B28" s="12" t="s">
        <v>97</v>
      </c>
      <c r="C28" s="12" t="s">
        <v>98</v>
      </c>
      <c r="D28" s="13" t="s">
        <v>99</v>
      </c>
      <c r="E28" s="11" t="s">
        <v>100</v>
      </c>
      <c r="F28" s="14" t="n">
        <v>1</v>
      </c>
      <c r="G28" s="15" t="n">
        <v>12.99</v>
      </c>
      <c r="H28" s="16" t="n">
        <f aca="false">F28*G28</f>
        <v>12.99</v>
      </c>
      <c r="I28" s="12" t="s">
        <v>22</v>
      </c>
    </row>
    <row r="29" customFormat="false" ht="15" hidden="false" customHeight="false" outlineLevel="0" collapsed="false">
      <c r="G29" s="4" t="s">
        <v>68</v>
      </c>
      <c r="H29" s="5" t="n">
        <f aca="false">SUM(H25:H28)</f>
        <v>55.87</v>
      </c>
    </row>
    <row r="31" customFormat="false" ht="15" hidden="false" customHeight="false" outlineLevel="0" collapsed="false">
      <c r="A31" s="9" t="s">
        <v>101</v>
      </c>
      <c r="B31" s="10"/>
      <c r="C31" s="10"/>
      <c r="D31" s="10"/>
      <c r="E31" s="10"/>
      <c r="F31" s="10"/>
      <c r="G31" s="10"/>
      <c r="H31" s="10"/>
      <c r="I31" s="10"/>
    </row>
    <row r="32" customFormat="false" ht="23.85" hidden="false" customHeight="false" outlineLevel="0" collapsed="false">
      <c r="A32" s="11" t="s">
        <v>102</v>
      </c>
      <c r="B32" s="12" t="s">
        <v>103</v>
      </c>
      <c r="C32" s="12" t="s">
        <v>104</v>
      </c>
      <c r="D32" s="13" t="s">
        <v>105</v>
      </c>
      <c r="E32" s="11" t="s">
        <v>106</v>
      </c>
      <c r="F32" s="14" t="n">
        <v>1</v>
      </c>
      <c r="G32" s="15" t="n">
        <v>5.55</v>
      </c>
      <c r="H32" s="16" t="n">
        <f aca="false">F32*G32</f>
        <v>5.55</v>
      </c>
      <c r="I32" s="12" t="s">
        <v>107</v>
      </c>
    </row>
    <row r="33" customFormat="false" ht="23.85" hidden="false" customHeight="false" outlineLevel="0" collapsed="false">
      <c r="A33" s="11" t="s">
        <v>108</v>
      </c>
      <c r="B33" s="12" t="s">
        <v>109</v>
      </c>
      <c r="C33" s="12" t="s">
        <v>110</v>
      </c>
      <c r="D33" s="13" t="s">
        <v>111</v>
      </c>
      <c r="E33" s="11" t="s">
        <v>112</v>
      </c>
      <c r="F33" s="14" t="n">
        <v>1</v>
      </c>
      <c r="G33" s="15" t="n">
        <v>8</v>
      </c>
      <c r="H33" s="16" t="n">
        <f aca="false">F33*G33</f>
        <v>8</v>
      </c>
      <c r="I33" s="12" t="s">
        <v>62</v>
      </c>
    </row>
    <row r="34" customFormat="false" ht="15" hidden="false" customHeight="false" outlineLevel="0" collapsed="false">
      <c r="A34" s="11" t="s">
        <v>113</v>
      </c>
      <c r="B34" s="12" t="s">
        <v>114</v>
      </c>
      <c r="C34" s="12" t="s">
        <v>115</v>
      </c>
      <c r="D34" s="13" t="s">
        <v>116</v>
      </c>
      <c r="E34" s="11" t="s">
        <v>117</v>
      </c>
      <c r="F34" s="14" t="n">
        <v>1</v>
      </c>
      <c r="G34" s="15" t="n">
        <v>5.89</v>
      </c>
      <c r="H34" s="16" t="n">
        <f aca="false">F34*G34</f>
        <v>5.89</v>
      </c>
      <c r="I34" s="12" t="s">
        <v>118</v>
      </c>
    </row>
    <row r="35" customFormat="false" ht="23.85" hidden="false" customHeight="false" outlineLevel="0" collapsed="false">
      <c r="A35" s="11" t="s">
        <v>119</v>
      </c>
      <c r="B35" s="12" t="s">
        <v>120</v>
      </c>
      <c r="C35" s="12" t="s">
        <v>121</v>
      </c>
      <c r="D35" s="13" t="s">
        <v>122</v>
      </c>
      <c r="E35" s="11" t="s">
        <v>123</v>
      </c>
      <c r="F35" s="14" t="n">
        <v>1</v>
      </c>
      <c r="G35" s="15" t="n">
        <v>9.89</v>
      </c>
      <c r="H35" s="16" t="n">
        <f aca="false">F35*G35</f>
        <v>9.89</v>
      </c>
      <c r="I35" s="12" t="s">
        <v>86</v>
      </c>
    </row>
    <row r="36" customFormat="false" ht="15" hidden="false" customHeight="false" outlineLevel="0" collapsed="false">
      <c r="A36" s="11" t="s">
        <v>124</v>
      </c>
      <c r="B36" s="12" t="s">
        <v>125</v>
      </c>
      <c r="C36" s="12" t="s">
        <v>126</v>
      </c>
      <c r="D36" s="13" t="s">
        <v>127</v>
      </c>
      <c r="E36" s="11" t="s">
        <v>128</v>
      </c>
      <c r="F36" s="14" t="n">
        <v>2</v>
      </c>
      <c r="G36" s="15" t="n">
        <v>7.66</v>
      </c>
      <c r="H36" s="16" t="n">
        <f aca="false">F36*G36</f>
        <v>15.32</v>
      </c>
      <c r="I36" s="12" t="s">
        <v>86</v>
      </c>
    </row>
    <row r="37" customFormat="false" ht="15" hidden="false" customHeight="false" outlineLevel="0" collapsed="false">
      <c r="A37" s="11" t="s">
        <v>129</v>
      </c>
      <c r="B37" s="12" t="s">
        <v>114</v>
      </c>
      <c r="C37" s="12" t="s">
        <v>130</v>
      </c>
      <c r="D37" s="13" t="s">
        <v>131</v>
      </c>
      <c r="E37" s="11" t="s">
        <v>132</v>
      </c>
      <c r="F37" s="14" t="n">
        <v>1</v>
      </c>
      <c r="G37" s="15" t="n">
        <v>3.65</v>
      </c>
      <c r="H37" s="16" t="n">
        <f aca="false">F37*G37</f>
        <v>3.65</v>
      </c>
      <c r="I37" s="12" t="s">
        <v>22</v>
      </c>
    </row>
    <row r="38" customFormat="false" ht="15" hidden="false" customHeight="false" outlineLevel="0" collapsed="false">
      <c r="A38" s="11" t="s">
        <v>133</v>
      </c>
      <c r="B38" s="12" t="s">
        <v>134</v>
      </c>
      <c r="C38" s="12" t="s">
        <v>135</v>
      </c>
      <c r="D38" s="13" t="s">
        <v>136</v>
      </c>
      <c r="E38" s="11" t="s">
        <v>137</v>
      </c>
      <c r="F38" s="14" t="n">
        <v>1</v>
      </c>
      <c r="G38" s="15" t="n">
        <v>6.99</v>
      </c>
      <c r="H38" s="16" t="n">
        <f aca="false">F38*G38</f>
        <v>6.99</v>
      </c>
      <c r="I38" s="12" t="s">
        <v>86</v>
      </c>
    </row>
    <row r="39" customFormat="false" ht="15" hidden="false" customHeight="false" outlineLevel="0" collapsed="false">
      <c r="G39" s="4" t="s">
        <v>68</v>
      </c>
      <c r="H39" s="5" t="n">
        <f aca="false">SUM(H32:H38)</f>
        <v>55.29</v>
      </c>
    </row>
    <row r="41" customFormat="false" ht="15" hidden="false" customHeight="false" outlineLevel="0" collapsed="false">
      <c r="A41" s="9" t="s">
        <v>138</v>
      </c>
      <c r="B41" s="10"/>
      <c r="C41" s="10"/>
      <c r="D41" s="10"/>
      <c r="E41" s="10"/>
      <c r="F41" s="10"/>
      <c r="G41" s="10"/>
      <c r="H41" s="10"/>
      <c r="I41" s="10"/>
    </row>
    <row r="42" customFormat="false" ht="35.05" hidden="false" customHeight="false" outlineLevel="0" collapsed="false">
      <c r="A42" s="11" t="s">
        <v>139</v>
      </c>
      <c r="B42" s="12" t="s">
        <v>140</v>
      </c>
      <c r="C42" s="12" t="s">
        <v>141</v>
      </c>
      <c r="D42" s="13" t="s">
        <v>142</v>
      </c>
      <c r="E42" s="11" t="s">
        <v>143</v>
      </c>
      <c r="F42" s="14" t="n">
        <v>2</v>
      </c>
      <c r="G42" s="15" t="n">
        <v>49.49</v>
      </c>
      <c r="H42" s="16" t="n">
        <f aca="false">F42*G42</f>
        <v>98.98</v>
      </c>
      <c r="I42" s="12" t="s">
        <v>144</v>
      </c>
    </row>
    <row r="43" customFormat="false" ht="15" hidden="false" customHeight="false" outlineLevel="0" collapsed="false">
      <c r="A43" s="11" t="s">
        <v>145</v>
      </c>
      <c r="B43" s="12" t="s">
        <v>146</v>
      </c>
      <c r="C43" s="12" t="s">
        <v>147</v>
      </c>
      <c r="D43" s="13" t="s">
        <v>148</v>
      </c>
      <c r="E43" s="11" t="s">
        <v>149</v>
      </c>
      <c r="F43" s="14" t="n">
        <v>1</v>
      </c>
      <c r="G43" s="15" t="n">
        <v>3.25</v>
      </c>
      <c r="H43" s="16" t="n">
        <f aca="false">F43*G43</f>
        <v>3.25</v>
      </c>
      <c r="I43" s="12" t="s">
        <v>22</v>
      </c>
    </row>
    <row r="44" customFormat="false" ht="15" hidden="false" customHeight="false" outlineLevel="0" collapsed="false">
      <c r="G44" s="4" t="s">
        <v>68</v>
      </c>
      <c r="H44" s="5" t="n">
        <f aca="false">SUM(H42:H43)</f>
        <v>102.23</v>
      </c>
    </row>
    <row r="46" customFormat="false" ht="15" hidden="false" customHeight="false" outlineLevel="0" collapsed="false">
      <c r="A46" s="9" t="s">
        <v>150</v>
      </c>
      <c r="B46" s="10"/>
      <c r="C46" s="10"/>
      <c r="D46" s="10"/>
      <c r="E46" s="10"/>
      <c r="F46" s="10"/>
      <c r="G46" s="10"/>
      <c r="H46" s="10"/>
      <c r="I46" s="10"/>
    </row>
    <row r="47" customFormat="false" ht="23.85" hidden="false" customHeight="false" outlineLevel="0" collapsed="false">
      <c r="A47" s="11" t="s">
        <v>151</v>
      </c>
      <c r="B47" s="12" t="s">
        <v>152</v>
      </c>
      <c r="C47" s="12" t="s">
        <v>153</v>
      </c>
      <c r="D47" s="13" t="s">
        <v>154</v>
      </c>
      <c r="E47" s="11" t="s">
        <v>155</v>
      </c>
      <c r="F47" s="14" t="n">
        <v>1</v>
      </c>
      <c r="G47" s="15" t="n">
        <v>67.55</v>
      </c>
      <c r="H47" s="16" t="n">
        <f aca="false">F47*G47</f>
        <v>67.55</v>
      </c>
      <c r="I47" s="12" t="s">
        <v>86</v>
      </c>
    </row>
    <row r="48" customFormat="false" ht="23.85" hidden="false" customHeight="false" outlineLevel="0" collapsed="false">
      <c r="A48" s="11" t="s">
        <v>156</v>
      </c>
      <c r="B48" s="12" t="s">
        <v>157</v>
      </c>
      <c r="C48" s="12" t="s">
        <v>158</v>
      </c>
      <c r="D48" s="13" t="s">
        <v>159</v>
      </c>
      <c r="E48" s="11" t="s">
        <v>160</v>
      </c>
      <c r="F48" s="14" t="n">
        <v>1</v>
      </c>
      <c r="G48" s="15" t="n">
        <v>64.99</v>
      </c>
      <c r="H48" s="16" t="n">
        <f aca="false">F48*G48</f>
        <v>64.99</v>
      </c>
      <c r="I48" s="12" t="s">
        <v>86</v>
      </c>
    </row>
    <row r="49" customFormat="false" ht="15" hidden="false" customHeight="false" outlineLevel="0" collapsed="false">
      <c r="G49" s="4" t="s">
        <v>68</v>
      </c>
      <c r="H49" s="5" t="n">
        <f aca="false">SUM(H47:H48)</f>
        <v>132.54</v>
      </c>
    </row>
    <row r="51" customFormat="false" ht="15" hidden="false" customHeight="false" outlineLevel="0" collapsed="false">
      <c r="G51" s="4" t="s">
        <v>161</v>
      </c>
      <c r="H51" s="5" t="n">
        <f aca="false">H17+H22+H29+H39+H44+H49</f>
        <v>760.97</v>
      </c>
    </row>
    <row r="53" customFormat="false" ht="15" hidden="false" customHeight="false" outlineLevel="0" collapsed="false">
      <c r="A53" s="6" t="s">
        <v>162</v>
      </c>
    </row>
  </sheetData>
  <hyperlinks>
    <hyperlink ref="D6" r:id="rId1" display="https://www.adafruit.com/product/5714"/>
    <hyperlink ref="D7" r:id="rId2" display="https://www.digikey.com/en/products/detail/adafruit-industries-llc/5374/15998640"/>
    <hyperlink ref="D8" r:id="rId3" display="https://www.adafruit.com/product/4209"/>
    <hyperlink ref="D9" r:id="rId4" display="https://www.adafruit.com/product/4210"/>
    <hyperlink ref="D10" r:id="rId5" display="https://www.adafruit.com/product/851"/>
    <hyperlink ref="D11" r:id="rId6" display="https://www.digikey.com/en/products/detail/te-connectivity-linx/ANT-916-CW-HW-SMA/2694126"/>
    <hyperlink ref="D12" r:id="rId7" display="https://www.adafruit.com/product/4682"/>
    <hyperlink ref="D13" r:id="rId8" display="https://www.adafruit.com/product/160"/>
    <hyperlink ref="D14" r:id="rId9" display="https://www.adafruit.com/product/756"/>
    <hyperlink ref="D15" r:id="rId10" display="https://www.digikey.com/en/products/detail/stackpole-electronics-inc/CF14JT1K00/1741314"/>
    <hyperlink ref="D16" r:id="rId11" display="https://www.sparkfun.com/sparkfun-solder-able-breadboard.html"/>
    <hyperlink ref="D20" r:id="rId12" display="https://alofthobbies.com/products/kst-x08-servo-5-30kg-73-60-oz-in-0-09-sec-wide-voltage"/>
    <hyperlink ref="D21" r:id="rId13" display="https://www.woodcraft.com/products/wixey-digital-angle-gauge-with-backlight-type-2-wr300"/>
    <hyperlink ref="D25" r:id="rId14" display="https://www.pololu.com/product/2831"/>
    <hyperlink ref="D26" r:id="rId15" display="https://www.pololu.com/product/2810"/>
    <hyperlink ref="D27" r:id="rId16" display="https://www.tindie.com/products/concreted0g/mk2-rocketry-screw-switches"/>
    <hyperlink ref="D28" r:id="rId17" display="https://www.getfpv.com/xt30-lipo-pigtail-w-35v-470uf-capacitor-16awg-3pcs.html"/>
    <hyperlink ref="D32" r:id="rId18" display="https://speedymetals.com/p-4553-38-od-x-0035-wall-tube-6061-t6-aluminum.aspx"/>
    <hyperlink ref="D33" r:id="rId19" display="https://www.marcorubber.com/product/B1003-012"/>
    <hyperlink ref="D34" r:id="rId20" display="https://locprecision.com/products/m2-shear-pins"/>
    <hyperlink ref="D35" r:id="rId21" display="https://www.homedepot.com/p/Hillman-10-24-tpi-x-2-in-Stainless-Steel-Eye-Bolt-with-Nut-10-Pack-4283/204775387"/>
    <hyperlink ref="D36" r:id="rId22" display="https://www.homedepot.com/p/Everbilt-3-16-in-Stainless-Steel-Quick-Link-41564/205882822"/>
    <hyperlink ref="D37" r:id="rId23" display="https://locprecision.com/products/nickel-plated-swivels"/>
    <hyperlink ref="D38" r:id="rId24" display="https://www.academy.com/p/daisy-precision-max-premium-bbs-4-000-count"/>
    <hyperlink ref="D42" r:id="rId25" display="https://www.erockets.biz/aerotech-29mm-composite-model-rocket-motor-single-use-f42-4t-2pk-aer-64204-required-to-pay-for-ups-ground-shipping/"/>
    <hyperlink ref="D43" r:id="rId26" display="https://estesrockets.com/products/1010-rail-buttons"/>
    <hyperlink ref="D47" r:id="rId27" display="https://www.albanycountyfasteners.com/metric-socket-cap-screw-assortment-kit-p/1060-090.htm"/>
    <hyperlink ref="D48" r:id="rId28" display="https://www.matterhackers.com/store/l/bambu-lab-asa-aero-filament-175mm-1kg/sk/M264H2Z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58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7" t="s">
        <v>164</v>
      </c>
    </row>
    <row r="4" customFormat="false" ht="15" hidden="false" customHeight="false" outlineLevel="0" collapsed="false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customFormat="false" ht="15" hidden="false" customHeight="false" outlineLevel="0" collapsed="false">
      <c r="A5" s="9" t="s">
        <v>165</v>
      </c>
      <c r="B5" s="10"/>
      <c r="C5" s="10"/>
      <c r="D5" s="10"/>
      <c r="E5" s="10"/>
      <c r="F5" s="10"/>
      <c r="G5" s="10"/>
      <c r="H5" s="10"/>
      <c r="I5" s="10"/>
    </row>
    <row r="6" customFormat="false" ht="35.05" hidden="false" customHeight="false" outlineLevel="0" collapsed="false">
      <c r="A6" s="11" t="s">
        <v>166</v>
      </c>
      <c r="B6" s="12" t="s">
        <v>167</v>
      </c>
      <c r="C6" s="12" t="s">
        <v>168</v>
      </c>
      <c r="D6" s="13" t="s">
        <v>169</v>
      </c>
      <c r="E6" s="11" t="s">
        <v>170</v>
      </c>
      <c r="F6" s="14" t="n">
        <v>1</v>
      </c>
      <c r="G6" s="15" t="n">
        <v>219</v>
      </c>
      <c r="H6" s="16" t="n">
        <f aca="false">F6*G6</f>
        <v>219</v>
      </c>
      <c r="I6" s="12" t="s">
        <v>22</v>
      </c>
    </row>
    <row r="7" customFormat="false" ht="15" hidden="false" customHeight="false" outlineLevel="0" collapsed="false">
      <c r="A7" s="11" t="s">
        <v>171</v>
      </c>
      <c r="B7" s="12" t="s">
        <v>172</v>
      </c>
      <c r="C7" s="12" t="s">
        <v>173</v>
      </c>
      <c r="D7" s="13" t="s">
        <v>174</v>
      </c>
      <c r="E7" s="11" t="s">
        <v>175</v>
      </c>
      <c r="F7" s="14" t="n">
        <v>1</v>
      </c>
      <c r="G7" s="15" t="n">
        <v>7.99</v>
      </c>
      <c r="H7" s="16" t="n">
        <f aca="false">F7*G7</f>
        <v>7.99</v>
      </c>
      <c r="I7" s="12" t="s">
        <v>86</v>
      </c>
    </row>
    <row r="8" customFormat="false" ht="15" hidden="false" customHeight="false" outlineLevel="0" collapsed="false">
      <c r="G8" s="4" t="s">
        <v>68</v>
      </c>
      <c r="H8" s="5" t="n">
        <f aca="false">SUM(H6:H7)</f>
        <v>226.99</v>
      </c>
    </row>
    <row r="10" customFormat="false" ht="15" hidden="false" customHeight="false" outlineLevel="0" collapsed="false">
      <c r="A10" s="9" t="s">
        <v>176</v>
      </c>
      <c r="B10" s="10"/>
      <c r="C10" s="10"/>
      <c r="D10" s="10"/>
      <c r="E10" s="10"/>
      <c r="F10" s="10"/>
      <c r="G10" s="10"/>
      <c r="H10" s="10"/>
      <c r="I10" s="10"/>
    </row>
    <row r="11" customFormat="false" ht="23.85" hidden="false" customHeight="false" outlineLevel="0" collapsed="false">
      <c r="A11" s="11" t="s">
        <v>177</v>
      </c>
      <c r="B11" s="12" t="s">
        <v>71</v>
      </c>
      <c r="C11" s="12" t="s">
        <v>178</v>
      </c>
      <c r="D11" s="13" t="s">
        <v>73</v>
      </c>
      <c r="E11" s="11" t="s">
        <v>179</v>
      </c>
      <c r="F11" s="14" t="n">
        <v>1</v>
      </c>
      <c r="G11" s="15" t="n">
        <v>45</v>
      </c>
      <c r="H11" s="16" t="n">
        <f aca="false">F11*G11</f>
        <v>45</v>
      </c>
      <c r="I11" s="12" t="s">
        <v>22</v>
      </c>
    </row>
    <row r="12" customFormat="false" ht="15" hidden="false" customHeight="false" outlineLevel="0" collapsed="false">
      <c r="G12" s="4" t="s">
        <v>68</v>
      </c>
      <c r="H12" s="5" t="n">
        <f aca="false">SUM(H11:H11)</f>
        <v>45</v>
      </c>
    </row>
    <row r="14" customFormat="false" ht="15" hidden="false" customHeight="false" outlineLevel="0" collapsed="false">
      <c r="A14" s="9" t="s">
        <v>180</v>
      </c>
      <c r="B14" s="10"/>
      <c r="C14" s="10"/>
      <c r="D14" s="10"/>
      <c r="E14" s="10"/>
      <c r="F14" s="10"/>
      <c r="G14" s="10"/>
      <c r="H14" s="10"/>
      <c r="I14" s="10"/>
    </row>
    <row r="15" customFormat="false" ht="23.85" hidden="false" customHeight="false" outlineLevel="0" collapsed="false">
      <c r="A15" s="11" t="s">
        <v>181</v>
      </c>
      <c r="B15" s="12" t="s">
        <v>64</v>
      </c>
      <c r="C15" s="12" t="s">
        <v>182</v>
      </c>
      <c r="D15" s="13" t="s">
        <v>183</v>
      </c>
      <c r="E15" s="11" t="s">
        <v>184</v>
      </c>
      <c r="F15" s="14" t="n">
        <v>2</v>
      </c>
      <c r="G15" s="15" t="n">
        <v>5.95</v>
      </c>
      <c r="H15" s="16" t="n">
        <f aca="false">F15*G15</f>
        <v>11.9</v>
      </c>
      <c r="I15" s="12" t="s">
        <v>86</v>
      </c>
    </row>
    <row r="16" customFormat="false" ht="15" hidden="false" customHeight="false" outlineLevel="0" collapsed="false">
      <c r="A16" s="11" t="s">
        <v>185</v>
      </c>
      <c r="B16" s="12" t="s">
        <v>64</v>
      </c>
      <c r="C16" s="12" t="s">
        <v>186</v>
      </c>
      <c r="D16" s="13" t="s">
        <v>187</v>
      </c>
      <c r="E16" s="11" t="s">
        <v>188</v>
      </c>
      <c r="F16" s="14" t="n">
        <v>2</v>
      </c>
      <c r="G16" s="15" t="n">
        <v>14.5</v>
      </c>
      <c r="H16" s="16" t="n">
        <f aca="false">F16*G16</f>
        <v>29</v>
      </c>
      <c r="I16" s="12" t="s">
        <v>22</v>
      </c>
    </row>
    <row r="17" customFormat="false" ht="15" hidden="false" customHeight="false" outlineLevel="0" collapsed="false">
      <c r="A17" s="11" t="s">
        <v>189</v>
      </c>
      <c r="B17" s="12" t="s">
        <v>24</v>
      </c>
      <c r="C17" s="12" t="s">
        <v>190</v>
      </c>
      <c r="D17" s="13" t="s">
        <v>191</v>
      </c>
      <c r="E17" s="11" t="s">
        <v>192</v>
      </c>
      <c r="F17" s="14" t="n">
        <v>1</v>
      </c>
      <c r="G17" s="15" t="n">
        <v>40</v>
      </c>
      <c r="H17" s="16" t="n">
        <f aca="false">F17*G17</f>
        <v>40</v>
      </c>
      <c r="I17" s="12" t="s">
        <v>45</v>
      </c>
    </row>
    <row r="18" customFormat="false" ht="15" hidden="false" customHeight="false" outlineLevel="0" collapsed="false">
      <c r="A18" s="11" t="s">
        <v>193</v>
      </c>
      <c r="B18" s="12" t="s">
        <v>194</v>
      </c>
      <c r="C18" s="12" t="s">
        <v>195</v>
      </c>
      <c r="D18" s="13" t="s">
        <v>196</v>
      </c>
      <c r="E18" s="11" t="s">
        <v>197</v>
      </c>
      <c r="F18" s="14" t="n">
        <v>1</v>
      </c>
      <c r="G18" s="15" t="n">
        <v>8.99</v>
      </c>
      <c r="H18" s="16" t="n">
        <f aca="false">F18*G18</f>
        <v>8.99</v>
      </c>
      <c r="I18" s="12" t="s">
        <v>22</v>
      </c>
    </row>
    <row r="19" customFormat="false" ht="15" hidden="false" customHeight="false" outlineLevel="0" collapsed="false">
      <c r="A19" s="11" t="s">
        <v>198</v>
      </c>
      <c r="B19" s="12" t="s">
        <v>18</v>
      </c>
      <c r="C19" s="12" t="s">
        <v>199</v>
      </c>
      <c r="D19" s="13" t="s">
        <v>200</v>
      </c>
      <c r="E19" s="11" t="s">
        <v>201</v>
      </c>
      <c r="F19" s="14" t="n">
        <v>1</v>
      </c>
      <c r="G19" s="15" t="n">
        <v>9.95</v>
      </c>
      <c r="H19" s="16" t="n">
        <f aca="false">F19*G19</f>
        <v>9.95</v>
      </c>
      <c r="I19" s="12" t="s">
        <v>22</v>
      </c>
    </row>
    <row r="20" customFormat="false" ht="15" hidden="false" customHeight="false" outlineLevel="0" collapsed="false">
      <c r="G20" s="4" t="s">
        <v>68</v>
      </c>
      <c r="H20" s="5" t="n">
        <f aca="false">SUM(H15:H19)</f>
        <v>99.84</v>
      </c>
    </row>
    <row r="22" customFormat="false" ht="15" hidden="false" customHeight="false" outlineLevel="0" collapsed="false">
      <c r="A22" s="9" t="s">
        <v>202</v>
      </c>
      <c r="B22" s="10"/>
      <c r="C22" s="10"/>
      <c r="D22" s="10"/>
      <c r="E22" s="10"/>
      <c r="F22" s="10"/>
      <c r="G22" s="10"/>
      <c r="H22" s="10"/>
      <c r="I22" s="10"/>
    </row>
    <row r="23" customFormat="false" ht="23.85" hidden="false" customHeight="false" outlineLevel="0" collapsed="false">
      <c r="A23" s="11" t="s">
        <v>203</v>
      </c>
      <c r="B23" s="12" t="s">
        <v>157</v>
      </c>
      <c r="C23" s="12" t="s">
        <v>204</v>
      </c>
      <c r="D23" s="13" t="s">
        <v>205</v>
      </c>
      <c r="E23" s="11" t="s">
        <v>206</v>
      </c>
      <c r="F23" s="14" t="n">
        <v>1</v>
      </c>
      <c r="G23" s="15" t="n">
        <v>30</v>
      </c>
      <c r="H23" s="16" t="n">
        <f aca="false">F23*G23</f>
        <v>30</v>
      </c>
      <c r="I23" s="12" t="s">
        <v>62</v>
      </c>
    </row>
    <row r="24" customFormat="false" ht="15" hidden="false" customHeight="false" outlineLevel="0" collapsed="false">
      <c r="G24" s="4" t="s">
        <v>68</v>
      </c>
      <c r="H24" s="5" t="n">
        <f aca="false">SUM(H23:H23)</f>
        <v>30</v>
      </c>
    </row>
    <row r="26" customFormat="false" ht="15" hidden="false" customHeight="false" outlineLevel="0" collapsed="false">
      <c r="G26" s="4" t="s">
        <v>161</v>
      </c>
      <c r="H26" s="5" t="n">
        <f aca="false">H8+H12+H20+H24</f>
        <v>401.83</v>
      </c>
    </row>
    <row r="28" customFormat="false" ht="15" hidden="false" customHeight="false" outlineLevel="0" collapsed="false">
      <c r="A28" s="6" t="s">
        <v>162</v>
      </c>
    </row>
  </sheetData>
  <hyperlinks>
    <hyperlink ref="D6" r:id="rId1" display="https://minisplitsystemsdirect.com/products/ac-infinity-cloudline-pro-t8-quiet-inline-duct-fan-system-with-temperature-humidity-vpd-controller-8-inch"/>
    <hyperlink ref="D7" r:id="rId2" display="https://acinfinity.com/hydroponics-growers/stainless-steel-duct-clamps-8-inch-two-pack"/>
    <hyperlink ref="D11" r:id="rId3" display="https://alofthobbies.com/products/kst-x08-servo-5-30kg-73-60-oz-in-0-09-sec-wide-voltage"/>
    <hyperlink ref="D15" r:id="rId4" display="https://www.sparkfun.com/sparkfun-qwiic-scale-nau7802.html"/>
    <hyperlink ref="D16" r:id="rId5" display="https://www.sparkfun.com/mini-load-cell-100g-straight-bar-tal221.html"/>
    <hyperlink ref="D17" r:id="rId6" display="https://www.digikey.com/en/products/detail/sensirion-ag/SDP810-125PA/6605488"/>
    <hyperlink ref="D18" r:id="rId7" display="https://www.readymaderc.com/products/details/rmrc-replacement-pitot-tube-for-matek"/>
    <hyperlink ref="D19" r:id="rId8" display="https://www.adafruit.com/product/5216"/>
    <hyperlink ref="D23" r:id="rId9" display="https://www.matterhackers.com/store/l/black-pro-series-petg-high-strength-filament-1.75mm/sk/MGTE765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8" t="s">
        <v>7</v>
      </c>
      <c r="B3" s="8" t="s">
        <v>12</v>
      </c>
      <c r="C3" s="8" t="s">
        <v>208</v>
      </c>
    </row>
    <row r="4" customFormat="false" ht="15" hidden="false" customHeight="false" outlineLevel="0" collapsed="false">
      <c r="A4" s="2" t="s">
        <v>209</v>
      </c>
      <c r="B4" s="2" t="n">
        <v>2</v>
      </c>
      <c r="C4" s="2" t="s">
        <v>210</v>
      </c>
    </row>
    <row r="5" customFormat="false" ht="15" hidden="false" customHeight="false" outlineLevel="0" collapsed="false">
      <c r="A5" s="2" t="s">
        <v>211</v>
      </c>
      <c r="B5" s="2" t="n">
        <v>4</v>
      </c>
      <c r="C5" s="2" t="s">
        <v>212</v>
      </c>
    </row>
    <row r="6" customFormat="false" ht="15" hidden="false" customHeight="false" outlineLevel="0" collapsed="false">
      <c r="A6" s="2" t="s">
        <v>213</v>
      </c>
      <c r="B6" s="2" t="n">
        <v>2</v>
      </c>
      <c r="C6" s="2" t="s">
        <v>214</v>
      </c>
    </row>
    <row r="7" customFormat="false" ht="15" hidden="false" customHeight="false" outlineLevel="0" collapsed="false">
      <c r="A7" s="2" t="s">
        <v>215</v>
      </c>
      <c r="B7" s="2" t="n">
        <v>1</v>
      </c>
      <c r="C7" s="2" t="s">
        <v>216</v>
      </c>
    </row>
    <row r="8" customFormat="false" ht="15" hidden="false" customHeight="false" outlineLevel="0" collapsed="false">
      <c r="A8" s="2" t="s">
        <v>217</v>
      </c>
      <c r="B8" s="2" t="n">
        <v>2</v>
      </c>
      <c r="C8" s="2" t="s">
        <v>218</v>
      </c>
    </row>
    <row r="9" customFormat="false" ht="15" hidden="false" customHeight="false" outlineLevel="0" collapsed="false">
      <c r="A9" s="2" t="s">
        <v>219</v>
      </c>
      <c r="B9" s="2" t="n">
        <v>1</v>
      </c>
      <c r="C9" s="2" t="s">
        <v>220</v>
      </c>
    </row>
    <row r="10" customFormat="false" ht="15" hidden="false" customHeight="false" outlineLevel="0" collapsed="false">
      <c r="A10" s="2" t="s">
        <v>221</v>
      </c>
      <c r="B10" s="2" t="n">
        <v>1</v>
      </c>
      <c r="C10" s="2" t="s">
        <v>222</v>
      </c>
    </row>
    <row r="11" customFormat="false" ht="15" hidden="false" customHeight="false" outlineLevel="0" collapsed="false">
      <c r="A11" s="2" t="s">
        <v>223</v>
      </c>
      <c r="B11" s="2" t="n">
        <v>1</v>
      </c>
      <c r="C11" s="2" t="s">
        <v>224</v>
      </c>
    </row>
    <row r="12" customFormat="false" ht="15" hidden="false" customHeight="false" outlineLevel="0" collapsed="false">
      <c r="A12" s="2" t="s">
        <v>225</v>
      </c>
      <c r="B12" s="2" t="n">
        <v>6</v>
      </c>
      <c r="C12" s="2" t="s">
        <v>226</v>
      </c>
    </row>
    <row r="13" customFormat="false" ht="15" hidden="false" customHeight="false" outlineLevel="0" collapsed="false">
      <c r="A13" s="2" t="s">
        <v>227</v>
      </c>
      <c r="B13" s="2" t="n">
        <v>1</v>
      </c>
      <c r="C13" s="2" t="s">
        <v>228</v>
      </c>
    </row>
    <row r="14" customFormat="false" ht="15" hidden="false" customHeight="false" outlineLevel="0" collapsed="false">
      <c r="A14" s="2" t="s">
        <v>229</v>
      </c>
      <c r="B14" s="2" t="n">
        <v>2</v>
      </c>
      <c r="C14" s="2" t="s">
        <v>230</v>
      </c>
    </row>
    <row r="15" customFormat="false" ht="15" hidden="false" customHeight="false" outlineLevel="0" collapsed="false">
      <c r="A15" s="2" t="s">
        <v>231</v>
      </c>
      <c r="B15" s="2" t="n">
        <v>1</v>
      </c>
      <c r="C15" s="2" t="s">
        <v>232</v>
      </c>
    </row>
    <row r="16" customFormat="false" ht="15" hidden="false" customHeight="false" outlineLevel="0" collapsed="false">
      <c r="A16" s="2" t="s">
        <v>233</v>
      </c>
      <c r="B16" s="2" t="n">
        <v>1</v>
      </c>
      <c r="C16" s="2" t="s">
        <v>234</v>
      </c>
    </row>
    <row r="17" customFormat="false" ht="15" hidden="false" customHeight="false" outlineLevel="0" collapsed="false">
      <c r="A17" s="2" t="s">
        <v>235</v>
      </c>
      <c r="B17" s="2" t="n">
        <v>1</v>
      </c>
      <c r="C17" s="2" t="s">
        <v>236</v>
      </c>
    </row>
    <row r="18" customFormat="false" ht="15" hidden="false" customHeight="false" outlineLevel="0" collapsed="false">
      <c r="A18" s="2" t="s">
        <v>237</v>
      </c>
      <c r="B18" s="2" t="n">
        <v>1</v>
      </c>
      <c r="C18" s="2" t="s">
        <v>238</v>
      </c>
    </row>
    <row r="19" customFormat="false" ht="15" hidden="false" customHeight="false" outlineLevel="0" collapsed="false">
      <c r="A19" s="2" t="s">
        <v>239</v>
      </c>
      <c r="B19" s="2" t="n">
        <v>1</v>
      </c>
      <c r="C19" s="2" t="s">
        <v>240</v>
      </c>
    </row>
    <row r="20" customFormat="false" ht="15" hidden="false" customHeight="false" outlineLevel="0" collapsed="false">
      <c r="A20" s="2" t="s">
        <v>241</v>
      </c>
      <c r="B20" s="2" t="n">
        <v>1</v>
      </c>
      <c r="C20" s="2" t="s">
        <v>242</v>
      </c>
    </row>
    <row r="21" customFormat="false" ht="15" hidden="false" customHeight="false" outlineLevel="0" collapsed="false">
      <c r="A21" s="2" t="s">
        <v>243</v>
      </c>
      <c r="B21" s="2" t="n">
        <v>1</v>
      </c>
      <c r="C21" s="2" t="s">
        <v>244</v>
      </c>
    </row>
    <row r="22" customFormat="false" ht="15" hidden="false" customHeight="false" outlineLevel="0" collapsed="false">
      <c r="A22" s="2" t="s">
        <v>245</v>
      </c>
      <c r="B22" s="2" t="n">
        <v>1</v>
      </c>
      <c r="C22" s="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247</v>
      </c>
    </row>
    <row r="3" customFormat="false" ht="15" hidden="false" customHeight="false" outlineLevel="0" collapsed="false">
      <c r="A3" s="8" t="s">
        <v>7</v>
      </c>
      <c r="B3" s="8" t="s">
        <v>248</v>
      </c>
    </row>
    <row r="4" customFormat="false" ht="15" hidden="false" customHeight="false" outlineLevel="0" collapsed="false">
      <c r="A4" s="2" t="s">
        <v>249</v>
      </c>
      <c r="B4" s="2" t="s">
        <v>250</v>
      </c>
    </row>
    <row r="5" customFormat="false" ht="15" hidden="false" customHeight="false" outlineLevel="0" collapsed="false">
      <c r="A5" s="2" t="s">
        <v>251</v>
      </c>
      <c r="B5" s="2" t="s">
        <v>252</v>
      </c>
    </row>
    <row r="6" customFormat="false" ht="15" hidden="false" customHeight="false" outlineLevel="0" collapsed="false">
      <c r="A6" s="2" t="s">
        <v>253</v>
      </c>
      <c r="B6" s="2" t="s">
        <v>254</v>
      </c>
    </row>
    <row r="7" customFormat="false" ht="15" hidden="false" customHeight="false" outlineLevel="0" collapsed="false">
      <c r="A7" s="2" t="s">
        <v>255</v>
      </c>
      <c r="B7" s="2" t="s">
        <v>256</v>
      </c>
    </row>
    <row r="8" customFormat="false" ht="15" hidden="false" customHeight="false" outlineLevel="0" collapsed="false">
      <c r="A8" s="2" t="s">
        <v>257</v>
      </c>
      <c r="B8" s="2" t="s">
        <v>258</v>
      </c>
    </row>
    <row r="9" customFormat="false" ht="15" hidden="false" customHeight="false" outlineLevel="0" collapsed="false">
      <c r="A9" s="2" t="s">
        <v>259</v>
      </c>
      <c r="B9" s="2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2026-10-16T22:53:41Z</dcterms:created>
  <dc:creator>openpyxl</dc:creator>
  <dc:description/>
  <dc:language>en-US</dc:language>
  <cp:lastModifiedBy/>
  <dcterms:modified xsi:type="dcterms:W3CDTF">2026-10-16T22:53:41Z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